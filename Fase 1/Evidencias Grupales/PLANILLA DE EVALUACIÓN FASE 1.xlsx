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0" documentId="8_{059DF597-ED83-4FD5-AB16-EE4D2C113723}"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<sst xmlns="http://schemas.openxmlformats.org/spreadsheetml/2006/main" count="154" uniqueCount="95">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</sst>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5" fillId="4" borderId="2" xfId="0" applyFont="1" applyFill="1" applyBorder="1" applyAlignment="1">
      <alignment horizontal="center" vertical="center"/>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3" zoomScale="120" zoomScaleNormal="120" workbookViewId="0">
      <selection activeCell="B20" sqref="B20"/>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31"/>
      <c r="C4" s="6">
        <f>EVALUACION1!$C$24</f>
        <v>7</v>
      </c>
      <c r="D4" s="6">
        <f>$C$35</f>
        <v>7</v>
      </c>
      <c r="E4" s="42">
        <f>C4*C$2+D4*D$2</f>
        <v>7</v>
      </c>
      <c r="G4" s="1"/>
    </row>
    <row r="5" spans="1:11">
      <c r="A5" s="5">
        <v>2</v>
      </c>
      <c r="B5" s="31"/>
      <c r="C5" s="6">
        <f>EVALUACION1!$C$24</f>
        <v>7</v>
      </c>
      <c r="D5" s="6">
        <f>C47</f>
        <v>7</v>
      </c>
      <c r="E5" s="42">
        <f t="shared" ref="E5:E6" si="0">C5*C$2+D5*D$2</f>
        <v>7</v>
      </c>
      <c r="G5" s="1"/>
    </row>
    <row r="6" spans="1:11">
      <c r="A6" s="5">
        <v>3</v>
      </c>
      <c r="B6" s="31"/>
      <c r="C6" s="6">
        <f>EVALUACION1!$C$24</f>
        <v>7</v>
      </c>
      <c r="D6" s="6">
        <f>C58</f>
        <v>7</v>
      </c>
      <c r="E6" s="42">
        <f t="shared" si="0"/>
        <v>7</v>
      </c>
      <c r="G6" s="1"/>
    </row>
    <row r="11" spans="1:11" ht="18.75" outlineLevel="1">
      <c r="A11" s="55" t="s">
        <v>3</v>
      </c>
      <c r="B11" s="14"/>
      <c r="C11" s="51" t="s">
        <v>4</v>
      </c>
      <c r="D11" s="52" t="s">
        <v>5</v>
      </c>
      <c r="E11" s="69"/>
      <c r="F11" s="69"/>
      <c r="G11" s="69"/>
      <c r="H11" s="69"/>
      <c r="I11" s="69"/>
      <c r="J11" s="69"/>
      <c r="K11" s="70"/>
    </row>
    <row r="12" spans="1:11" outlineLevel="1">
      <c r="A12" s="71"/>
      <c r="B12" s="48" t="s">
        <v>6</v>
      </c>
      <c r="C12" s="68"/>
      <c r="D12" s="52" t="s">
        <v>7</v>
      </c>
      <c r="E12" s="70"/>
      <c r="F12" s="52" t="s">
        <v>8</v>
      </c>
      <c r="G12" s="70"/>
      <c r="H12" s="52" t="s">
        <v>9</v>
      </c>
      <c r="I12" s="70"/>
      <c r="J12" s="52" t="s">
        <v>10</v>
      </c>
      <c r="K12" s="70"/>
    </row>
    <row r="13" spans="1:11" ht="24" outlineLevel="1">
      <c r="A13" s="72"/>
      <c r="B13" s="34" t="str">
        <f>RUBRICA!A5</f>
        <v>1. Describe brevemente en qué consiste el Proyecto APT, justificando su relevancia para el campo laboral de su carrera.</v>
      </c>
      <c r="C13" s="32"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11</v>
      </c>
      <c r="C23" s="36">
        <f>E23+G23+I23+K23</f>
        <v>70</v>
      </c>
      <c r="D23" s="19"/>
      <c r="E23" s="19">
        <f>SUM(E13:E22)</f>
        <v>70</v>
      </c>
      <c r="F23" s="19"/>
      <c r="G23" s="19">
        <f>SUM(G13:G22)</f>
        <v>0</v>
      </c>
      <c r="H23" s="19"/>
      <c r="I23" s="19">
        <f>SUM(I13:I22)</f>
        <v>0</v>
      </c>
      <c r="J23" s="19"/>
      <c r="K23" s="19">
        <f>SUM(K13:K22)</f>
        <v>0</v>
      </c>
    </row>
    <row r="24" spans="1:11" ht="15.75" customHeight="1" outlineLevel="1">
      <c r="A24" s="68"/>
      <c r="B24" s="35" t="s">
        <v>12</v>
      </c>
      <c r="C24" s="20">
        <f>VLOOKUP(C23,ESCALA_IEP!A2:B142,2,FALSE)</f>
        <v>7</v>
      </c>
    </row>
    <row r="25" spans="1:11" ht="15.75" customHeight="1"/>
    <row r="26" spans="1:11" ht="15.75" customHeight="1"/>
    <row r="27" spans="1:11" ht="15.75" customHeight="1">
      <c r="A27" s="53" t="s">
        <v>13</v>
      </c>
      <c r="B27" s="49" t="s">
        <v>14</v>
      </c>
      <c r="C27" s="50">
        <f>$B$4</f>
        <v>0</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15</v>
      </c>
      <c r="C29" s="51" t="s">
        <v>4</v>
      </c>
      <c r="D29" s="52" t="s">
        <v>5</v>
      </c>
      <c r="E29" s="69"/>
      <c r="F29" s="69"/>
      <c r="G29" s="69"/>
      <c r="H29" s="69"/>
      <c r="I29" s="69"/>
      <c r="J29" s="69"/>
      <c r="K29" s="70"/>
    </row>
    <row r="30" spans="1:11" ht="15.75" customHeight="1">
      <c r="A30" s="71"/>
      <c r="B30" s="15" t="s">
        <v>6</v>
      </c>
      <c r="C30" s="68"/>
      <c r="D30" s="52" t="s">
        <v>7</v>
      </c>
      <c r="E30" s="70"/>
      <c r="F30" s="52" t="s">
        <v>8</v>
      </c>
      <c r="G30" s="70"/>
      <c r="H30" s="52" t="s">
        <v>16</v>
      </c>
      <c r="I30" s="70"/>
      <c r="J30" s="52" t="s">
        <v>10</v>
      </c>
      <c r="K30" s="70"/>
    </row>
    <row r="31" spans="1:11" ht="24.6" customHeight="1">
      <c r="A31" s="71"/>
      <c r="B31" s="34" t="str">
        <f>RUBRICA!A7</f>
        <v>3. Relaciona el Proyecto APT con sus intereses profesionales. *</v>
      </c>
      <c r="C31" s="32"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12</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13</v>
      </c>
      <c r="B39" s="49" t="s">
        <v>14</v>
      </c>
      <c r="C39" s="50">
        <f>B5</f>
        <v>0</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15</v>
      </c>
      <c r="C41" s="51" t="s">
        <v>4</v>
      </c>
      <c r="D41" s="52" t="s">
        <v>5</v>
      </c>
      <c r="E41" s="69"/>
      <c r="F41" s="69"/>
      <c r="G41" s="69"/>
      <c r="H41" s="69"/>
      <c r="I41" s="69"/>
      <c r="J41" s="69"/>
      <c r="K41" s="70"/>
    </row>
    <row r="42" spans="1:11" ht="15.75" customHeight="1">
      <c r="A42" s="71"/>
      <c r="B42" s="15" t="s">
        <v>6</v>
      </c>
      <c r="C42" s="68"/>
      <c r="D42" s="52" t="s">
        <v>7</v>
      </c>
      <c r="E42" s="70"/>
      <c r="F42" s="52" t="s">
        <v>8</v>
      </c>
      <c r="G42" s="70"/>
      <c r="H42" s="52" t="s">
        <v>16</v>
      </c>
      <c r="I42" s="70"/>
      <c r="J42" s="52" t="s">
        <v>10</v>
      </c>
      <c r="K42" s="70"/>
    </row>
    <row r="43" spans="1:11" ht="25.9" customHeight="1">
      <c r="A43" s="71"/>
      <c r="B43" s="34" t="str">
        <f>RUBRICA!A7</f>
        <v>3. Relaciona el Proyecto APT con sus intereses profesionales. *</v>
      </c>
      <c r="C43" s="32"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12</v>
      </c>
      <c r="C47" s="20">
        <f>VLOOKUP(C46,ESCALA_TRAB_EQUIP!A2:B62,2,FALSE)</f>
        <v>7</v>
      </c>
    </row>
    <row r="48" spans="1:11" ht="15.75" customHeight="1">
      <c r="B48" s="22"/>
      <c r="C48" s="23"/>
    </row>
    <row r="49" spans="1:11" ht="15.75" customHeight="1">
      <c r="B49" s="22"/>
      <c r="C49" s="23"/>
    </row>
    <row r="50" spans="1:11" ht="15.75" customHeight="1">
      <c r="A50" s="53" t="s">
        <v>13</v>
      </c>
      <c r="B50" s="49" t="s">
        <v>14</v>
      </c>
      <c r="C50" s="50">
        <f>B6</f>
        <v>0</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15</v>
      </c>
      <c r="C52" s="51" t="s">
        <v>4</v>
      </c>
      <c r="D52" s="52" t="s">
        <v>5</v>
      </c>
      <c r="E52" s="69"/>
      <c r="F52" s="69"/>
      <c r="G52" s="69"/>
      <c r="H52" s="69"/>
      <c r="I52" s="69"/>
      <c r="J52" s="69"/>
      <c r="K52" s="70"/>
    </row>
    <row r="53" spans="1:11" ht="15.75" customHeight="1">
      <c r="A53" s="71"/>
      <c r="B53" s="15" t="s">
        <v>6</v>
      </c>
      <c r="C53" s="68"/>
      <c r="D53" s="52" t="s">
        <v>7</v>
      </c>
      <c r="E53" s="70"/>
      <c r="F53" s="52" t="s">
        <v>8</v>
      </c>
      <c r="G53" s="70"/>
      <c r="H53" s="52" t="s">
        <v>16</v>
      </c>
      <c r="I53" s="70"/>
      <c r="J53" s="52" t="s">
        <v>10</v>
      </c>
      <c r="K53" s="70"/>
    </row>
    <row r="54" spans="1:11" ht="25.9" customHeight="1">
      <c r="A54" s="71"/>
      <c r="B54" s="34" t="str">
        <f>RUBRICA!A7</f>
        <v>3. Relaciona el Proyecto APT con sus intereses profesionales. *</v>
      </c>
      <c r="C54" s="32"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12</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18</v>
      </c>
      <c r="B2" s="62" t="s">
        <v>19</v>
      </c>
      <c r="C2" s="63"/>
      <c r="D2" s="63"/>
      <c r="E2" s="64"/>
      <c r="F2" s="59" t="s">
        <v>20</v>
      </c>
    </row>
    <row r="3" spans="1:6">
      <c r="A3" s="60"/>
      <c r="B3" s="65" t="s">
        <v>21</v>
      </c>
      <c r="C3" s="65" t="s">
        <v>22</v>
      </c>
      <c r="D3" s="24" t="s">
        <v>23</v>
      </c>
      <c r="E3" s="26" t="s">
        <v>10</v>
      </c>
      <c r="F3" s="60"/>
    </row>
    <row r="4" spans="1:6" ht="57.6" customHeight="1" thickBot="1">
      <c r="A4" s="61"/>
      <c r="B4" s="66"/>
      <c r="C4" s="66"/>
      <c r="D4" s="25">
        <v>-0.3</v>
      </c>
      <c r="E4" s="25">
        <v>0</v>
      </c>
      <c r="F4" s="61"/>
    </row>
    <row r="5" spans="1:6" ht="77.25" thickBot="1">
      <c r="A5" s="37" t="s">
        <v>24</v>
      </c>
      <c r="B5" s="38" t="s">
        <v>25</v>
      </c>
      <c r="C5" s="38" t="s">
        <v>26</v>
      </c>
      <c r="D5" s="38" t="s">
        <v>27</v>
      </c>
      <c r="E5" s="38" t="s">
        <v>28</v>
      </c>
      <c r="F5" s="27">
        <v>10</v>
      </c>
    </row>
    <row r="6" spans="1:6" ht="77.25" thickBot="1">
      <c r="A6" s="44" t="s">
        <v>29</v>
      </c>
      <c r="B6" s="44" t="s">
        <v>30</v>
      </c>
      <c r="C6" s="44" t="s">
        <v>31</v>
      </c>
      <c r="D6" s="44" t="s">
        <v>32</v>
      </c>
      <c r="E6" s="45" t="s">
        <v>33</v>
      </c>
      <c r="F6" s="29">
        <v>5</v>
      </c>
    </row>
    <row r="7" spans="1:6" ht="94.9" customHeight="1" thickBot="1">
      <c r="A7" s="41" t="s">
        <v>34</v>
      </c>
      <c r="B7" s="41" t="s">
        <v>35</v>
      </c>
      <c r="C7" s="41" t="s">
        <v>36</v>
      </c>
      <c r="D7" s="41" t="s">
        <v>37</v>
      </c>
      <c r="E7" s="41" t="s">
        <v>38</v>
      </c>
      <c r="F7" s="30">
        <v>10</v>
      </c>
    </row>
    <row r="8" spans="1:6" ht="76.5">
      <c r="A8" s="41" t="s">
        <v>39</v>
      </c>
      <c r="B8" s="41" t="s">
        <v>40</v>
      </c>
      <c r="C8" s="41" t="s">
        <v>41</v>
      </c>
      <c r="D8" s="41" t="s">
        <v>42</v>
      </c>
      <c r="E8" s="41" t="s">
        <v>43</v>
      </c>
      <c r="F8" s="30">
        <v>5</v>
      </c>
    </row>
    <row r="9" spans="1:6" ht="65.45" customHeight="1" thickBot="1">
      <c r="A9" s="37" t="s">
        <v>44</v>
      </c>
      <c r="B9" s="38" t="s">
        <v>45</v>
      </c>
      <c r="C9" s="38" t="s">
        <v>46</v>
      </c>
      <c r="D9" s="38" t="s">
        <v>47</v>
      </c>
      <c r="E9" s="38" t="s">
        <v>48</v>
      </c>
      <c r="F9" s="27">
        <v>5</v>
      </c>
    </row>
    <row r="10" spans="1:6" ht="64.5" thickBot="1">
      <c r="A10" s="37" t="s">
        <v>49</v>
      </c>
      <c r="B10" s="38" t="s">
        <v>50</v>
      </c>
      <c r="C10" s="38" t="s">
        <v>51</v>
      </c>
      <c r="D10" s="38" t="s">
        <v>52</v>
      </c>
      <c r="E10" s="38" t="s">
        <v>53</v>
      </c>
      <c r="F10" s="27">
        <v>10</v>
      </c>
    </row>
    <row r="11" spans="1:6" ht="76.5">
      <c r="A11" s="44" t="s">
        <v>54</v>
      </c>
      <c r="B11" s="44" t="s">
        <v>55</v>
      </c>
      <c r="C11" s="44" t="s">
        <v>56</v>
      </c>
      <c r="D11" s="44" t="s">
        <v>57</v>
      </c>
      <c r="E11" s="44" t="s">
        <v>58</v>
      </c>
      <c r="F11" s="29">
        <v>10</v>
      </c>
    </row>
    <row r="12" spans="1:6" ht="51">
      <c r="A12" s="46" t="s">
        <v>59</v>
      </c>
      <c r="B12" s="45" t="s">
        <v>60</v>
      </c>
      <c r="C12" s="45" t="s">
        <v>61</v>
      </c>
      <c r="D12" s="45" t="s">
        <v>62</v>
      </c>
      <c r="E12" s="45" t="s">
        <v>63</v>
      </c>
      <c r="F12" s="39">
        <v>5</v>
      </c>
    </row>
    <row r="13" spans="1:6" ht="94.15" customHeight="1">
      <c r="A13" s="41" t="s">
        <v>64</v>
      </c>
      <c r="B13" s="41" t="s">
        <v>65</v>
      </c>
      <c r="C13" s="41" t="s">
        <v>66</v>
      </c>
      <c r="D13" s="41" t="s">
        <v>67</v>
      </c>
      <c r="E13" s="41" t="s">
        <v>68</v>
      </c>
      <c r="F13" s="40">
        <v>5</v>
      </c>
    </row>
    <row r="14" spans="1:6" ht="63.75">
      <c r="A14" s="41" t="s">
        <v>69</v>
      </c>
      <c r="B14" s="41" t="s">
        <v>70</v>
      </c>
      <c r="C14" s="41" t="s">
        <v>71</v>
      </c>
      <c r="D14" s="41" t="s">
        <v>72</v>
      </c>
      <c r="E14" s="41" t="s">
        <v>73</v>
      </c>
      <c r="F14" s="40">
        <v>5</v>
      </c>
    </row>
    <row r="15" spans="1:6" ht="64.5" thickBot="1">
      <c r="A15" s="37" t="s">
        <v>74</v>
      </c>
      <c r="B15" s="38" t="s">
        <v>75</v>
      </c>
      <c r="C15" s="38" t="s">
        <v>76</v>
      </c>
      <c r="D15" s="38" t="s">
        <v>77</v>
      </c>
      <c r="E15" s="38" t="s">
        <v>78</v>
      </c>
      <c r="F15" s="27">
        <v>10</v>
      </c>
    </row>
    <row r="16" spans="1:6" ht="77.25" thickBot="1">
      <c r="A16" s="37" t="s">
        <v>79</v>
      </c>
      <c r="B16" s="38" t="s">
        <v>80</v>
      </c>
      <c r="C16" s="38" t="s">
        <v>81</v>
      </c>
      <c r="D16" s="38" t="s">
        <v>82</v>
      </c>
      <c r="E16" s="38" t="s">
        <v>83</v>
      </c>
      <c r="F16" s="27">
        <v>10</v>
      </c>
    </row>
    <row r="17" spans="1:6" ht="90" thickBot="1">
      <c r="A17" s="37" t="s">
        <v>84</v>
      </c>
      <c r="B17" s="38" t="s">
        <v>85</v>
      </c>
      <c r="C17" s="38" t="s">
        <v>86</v>
      </c>
      <c r="D17" s="38" t="s">
        <v>87</v>
      </c>
      <c r="E17" s="38" t="s">
        <v>88</v>
      </c>
      <c r="F17" s="27">
        <v>10</v>
      </c>
    </row>
    <row r="18" spans="1:6" ht="15.75" thickBot="1">
      <c r="A18" s="56" t="s">
        <v>89</v>
      </c>
      <c r="B18" s="57"/>
      <c r="C18" s="57"/>
      <c r="D18" s="57"/>
      <c r="E18" s="58"/>
      <c r="F18" s="28">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11</v>
      </c>
      <c r="B1" t="s">
        <v>12</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90</v>
      </c>
      <c r="B1" t="s">
        <v>91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11</v>
      </c>
      <c r="B1" t="s">
        <v>12</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92</v>
      </c>
      <c r="B1" s="7" t="s">
        <v>11</v>
      </c>
      <c r="C1" s="8"/>
      <c r="D1" s="8"/>
      <c r="E1" s="9"/>
    </row>
    <row r="2" spans="1:5" ht="45.75" thickBot="1">
      <c r="A2" s="78"/>
      <c r="B2" s="10" t="s">
        <v>7</v>
      </c>
      <c r="C2" s="11" t="s">
        <v>8</v>
      </c>
      <c r="D2" s="11" t="s">
        <v>93</v>
      </c>
      <c r="E2" s="47" t="s">
        <v>10</v>
      </c>
    </row>
    <row r="3" spans="1:5" ht="30.75" thickBot="1">
      <c r="A3" s="12" t="s">
        <v>94</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Gerardo Galan Cruz</cp:lastModifiedBy>
  <cp:revision/>
  <dcterms:created xsi:type="dcterms:W3CDTF">2023-08-07T04:08:01Z</dcterms:created>
  <dcterms:modified xsi:type="dcterms:W3CDTF">2026-08-10T13:29:10Z</dcterms:modified>
  <cp:category/>
  <cp:contentStatus/>
</cp:coreProperties>
</file>